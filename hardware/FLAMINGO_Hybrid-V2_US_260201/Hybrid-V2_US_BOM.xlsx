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LAMINGO\Phase 4\Hybrid V2\FLAMINGO_Hybrid-V2_US_260201\"/>
    </mc:Choice>
  </mc:AlternateContent>
  <xr:revisionPtr revIDLastSave="0" documentId="13_ncr:1_{DD3141BD-3C99-4F4E-B668-EF03662AC9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ybrid V2 BOM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2" i="5"/>
  <c r="I15" i="5"/>
  <c r="I10" i="5"/>
  <c r="K10" i="5" s="1"/>
  <c r="I14" i="5"/>
  <c r="K14" i="5" s="1"/>
  <c r="I13" i="5"/>
  <c r="K13" i="5" s="1"/>
  <c r="H16" i="5"/>
  <c r="K16" i="5" s="1"/>
  <c r="H15" i="5"/>
  <c r="H14" i="5"/>
  <c r="I12" i="5"/>
  <c r="K12" i="5" s="1"/>
  <c r="I11" i="5"/>
  <c r="K11" i="5" s="1"/>
  <c r="I9" i="5"/>
  <c r="K9" i="5" s="1"/>
  <c r="I17" i="5"/>
  <c r="K17" i="5" s="1"/>
  <c r="I8" i="5"/>
  <c r="K8" i="5" s="1"/>
  <c r="I6" i="5"/>
  <c r="K6" i="5" s="1"/>
  <c r="I5" i="5"/>
  <c r="I4" i="5"/>
  <c r="I7" i="5"/>
  <c r="K7" i="5" s="1"/>
  <c r="I3" i="5"/>
  <c r="I2" i="5"/>
  <c r="H5" i="5"/>
  <c r="H4" i="5"/>
  <c r="K3" i="5" l="1"/>
  <c r="K2" i="5"/>
  <c r="K18" i="5"/>
  <c r="K15" i="5"/>
  <c r="K4" i="5"/>
  <c r="K5" i="5"/>
  <c r="K1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tc={AA24BC21-C230-413C-B040-1AF4CA5E34BD}</author>
  </authors>
  <commentList>
    <comment ref="H2" authorId="0" shapeId="0" xr:uid="{AA24BC21-C230-413C-B040-1AF4CA5E34BD}">
      <text>
        <t>[Threaded comment]
Your version of Excel allows you to read this threaded comment; however, any edits to it will get removed if the file is opened in a newer version of Excel. Learn more: https://go.microsoft.com/fwlink/?linkid=870924
Comment:
    Bulk discount</t>
      </text>
    </comment>
  </commentList>
</comments>
</file>

<file path=xl/sharedStrings.xml><?xml version="1.0" encoding="utf-8"?>
<sst xmlns="http://schemas.openxmlformats.org/spreadsheetml/2006/main" count="119" uniqueCount="92">
  <si>
    <t>Line</t>
  </si>
  <si>
    <t>Description</t>
  </si>
  <si>
    <t>Specifications</t>
  </si>
  <si>
    <t>Manufacturer</t>
  </si>
  <si>
    <t>P/N</t>
  </si>
  <si>
    <t>Supplier</t>
  </si>
  <si>
    <t>SKU</t>
  </si>
  <si>
    <t>Unit Cost</t>
  </si>
  <si>
    <t>Qty</t>
  </si>
  <si>
    <t>Cost</t>
  </si>
  <si>
    <t>Note</t>
  </si>
  <si>
    <t>Waterproof Push Button Switch (5pk)</t>
  </si>
  <si>
    <t>12V, 3A, Red, IP54</t>
  </si>
  <si>
    <t>Quentacy</t>
  </si>
  <si>
    <t>LJZ-GAD464-Red</t>
  </si>
  <si>
    <t>Amazon</t>
  </si>
  <si>
    <t>B076RL96BM</t>
  </si>
  <si>
    <t>M2.5 Brass Threaded Heat Set Inserts (100pk)</t>
  </si>
  <si>
    <t>M2.5-0.45, L4, OD3.5</t>
  </si>
  <si>
    <t>Kvohlum</t>
  </si>
  <si>
    <t>M2.5x4Lx3.5mm</t>
  </si>
  <si>
    <t>B0D39T7F4H</t>
  </si>
  <si>
    <t>M2.5 8mm Stainless Steel Socket Head Screw (100pk)</t>
  </si>
  <si>
    <t>M2.5-0.45, L=8mm, hex</t>
  </si>
  <si>
    <t>HH Fasteners</t>
  </si>
  <si>
    <t>M2.5x8mm</t>
  </si>
  <si>
    <t>B01H210BLW</t>
  </si>
  <si>
    <t>RAKWireless</t>
  </si>
  <si>
    <t>RAK5802</t>
  </si>
  <si>
    <t>Rokland</t>
  </si>
  <si>
    <t>915MHz</t>
  </si>
  <si>
    <t>RAK19007, RAK5631</t>
  </si>
  <si>
    <t>10cm 22AWG M + F</t>
  </si>
  <si>
    <t>ZSDZFYLLK</t>
  </si>
  <si>
    <t>B0D7Q9HJLQ</t>
  </si>
  <si>
    <t>Starter kit (RAK19007), WisBlock</t>
  </si>
  <si>
    <t>RS485 Module, WisBlock</t>
  </si>
  <si>
    <t>LED, Green, Prewired (12pk)</t>
  </si>
  <si>
    <t>5mm, 3V, 20mA</t>
  </si>
  <si>
    <t>PATIKIL</t>
  </si>
  <si>
    <t>B0D8GLTZRV</t>
  </si>
  <si>
    <t>Battery Spring (20pk)</t>
  </si>
  <si>
    <t>16x16mm, 12mm hgt</t>
  </si>
  <si>
    <t>YQBOOM</t>
  </si>
  <si>
    <t>B09NLTNL64</t>
  </si>
  <si>
    <t>18650 Battery</t>
  </si>
  <si>
    <t>2500mAh, 20A</t>
  </si>
  <si>
    <t>Samsung</t>
  </si>
  <si>
    <t>25R</t>
  </si>
  <si>
    <t>18650 Battery Store</t>
  </si>
  <si>
    <t xml:space="preserve">Protective Carrying Case, Weatherproof </t>
  </si>
  <si>
    <t>9.3L, 6x12in outside</t>
  </si>
  <si>
    <t>Apache</t>
  </si>
  <si>
    <t>Harbor Freight</t>
  </si>
  <si>
    <t>Folding Antenna (2pk)</t>
  </si>
  <si>
    <t>915MHz SMA</t>
  </si>
  <si>
    <t>XWWXGG</t>
  </si>
  <si>
    <t>B0FHJNR59W</t>
  </si>
  <si>
    <t>3D Printer material - PETG</t>
  </si>
  <si>
    <t>PETG+</t>
  </si>
  <si>
    <t>Inland</t>
  </si>
  <si>
    <t>PETG+175SO1</t>
  </si>
  <si>
    <t>MicroCenter</t>
  </si>
  <si>
    <t>3D Printer material - PLA</t>
  </si>
  <si>
    <t>PLA+</t>
  </si>
  <si>
    <t>PLA 175BW1</t>
  </si>
  <si>
    <t>3D Printer material - PLA Support</t>
  </si>
  <si>
    <t>Support for PLA</t>
  </si>
  <si>
    <t>Bambu</t>
  </si>
  <si>
    <t>Cost per node</t>
  </si>
  <si>
    <t>Cost per kit</t>
  </si>
  <si>
    <t>Inland PETG+ cost per kg</t>
  </si>
  <si>
    <t>Regularly $22.99</t>
  </si>
  <si>
    <t>Inland PLA+ cost per kg</t>
  </si>
  <si>
    <t>Bambu Support for PLA cost per kg</t>
  </si>
  <si>
    <t>18in, 10pk, 28AWG</t>
  </si>
  <si>
    <t>CEN-TECH</t>
  </si>
  <si>
    <t># nodes</t>
  </si>
  <si>
    <t>M2.5-0.45, L=4mm, phillips</t>
  </si>
  <si>
    <t>Sutemribor</t>
  </si>
  <si>
    <t>M2.5x4mm</t>
  </si>
  <si>
    <t>M2.5 4mm Pan Head Screw (105pk)</t>
  </si>
  <si>
    <t>B0DJKWR1V9</t>
  </si>
  <si>
    <t>JST-PH-2 Pigtails + Sockets (20pk)</t>
  </si>
  <si>
    <t>Unit</t>
  </si>
  <si>
    <t>ea</t>
  </si>
  <si>
    <t>g</t>
  </si>
  <si>
    <t>US version</t>
  </si>
  <si>
    <t>Any 18650 works</t>
  </si>
  <si>
    <t>Alligator Test leads (10pk)</t>
  </si>
  <si>
    <t>Only Red/Black pairs used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</si>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</sst>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theme="1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5" fillId="0" borderId="0" xfId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4" fontId="6" fillId="0" borderId="0" xfId="0" applyNumberFormat="1" applyFont="1"/>
  </cellXfs>
  <cellStyles count="2">
    <cellStyle name="Hyperlink" xfId="1" builtinId="8"/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$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/>
        <family val="2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EF"/>
          <bgColor rgb="FFD4D7E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EF"/>
          <bgColor rgb="FFD4D7E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EF"/>
          <bgColor rgb="FFD4D7E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TacMesh-style" pivot="0" count="5" xr9:uid="{00000000-0011-0000-FFFF-FFFF00000000}">
      <tableStyleElement type="wholeTable" size="0" dxfId="37"/>
      <tableStyleElement type="headerRow" dxfId="36"/>
      <tableStyleElement type="totalRow" dxfId="35"/>
      <tableStyleElement type="firstRowStripe" dxfId="34"/>
      <tableStyleElement type="secondRowStripe" dxfId="33"/>
    </tableStyle>
    <tableStyle name="Rev B Mods-style" pivot="0" count="4" xr9:uid="{00000000-0011-0000-FFFF-FFFF01000000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BOM-style" pivot="0" count="5" xr9:uid="{00000000-0011-0000-FFFF-FFFF02000000}">
      <tableStyleElement type="wholeTable" size="0" dxfId="28"/>
      <tableStyleElement type="headerRow" dxfId="27"/>
      <tableStyleElement type="totalRow" dxfId="26"/>
      <tableStyleElement type="firstRowStripe" dxfId="25"/>
      <tableStyleElement type="secondRowStripe" dxfId="24"/>
    </tableStyle>
    <tableStyle name="Cavenode V2 BOM-style" pivot="0" count="5" xr9:uid="{00000000-0011-0000-FFFF-FFFF03000000}">
      <tableStyleElement type="wholeTable" size="0" dxfId="23"/>
      <tableStyleElement type="headerRow" dxfId="22"/>
      <tableStyleElement type="totalRow" dxfId="21"/>
      <tableStyleElement type="firstRowStripe" dxfId="20"/>
      <tableStyleElement type="secondRowStripe" dxfId="19"/>
    </tableStyle>
    <tableStyle name="Hybrid V2 BOM-style" pivot="0" count="5" xr9:uid="{00000000-0011-0000-FFFF-FFFF04000000}">
      <tableStyleElement type="wholeTable" size="0" dxfId="18"/>
      <tableStyleElement type="headerRow" dxfId="17"/>
      <tableStyleElement type="total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mie Moon" id="{69836924-6133-41C4-861C-FC4CDB639352}" userId="e48f52dce6e6e0a4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OM_3" displayName="BOM_3" ref="A1:L17" totalsRowShown="0" headerRowDxfId="13">
  <tableColumns count="12">
    <tableColumn id="1" xr3:uid="{00000000-0010-0000-0400-000001000000}" name="Line" totalsRowDxfId="12"/>
    <tableColumn id="2" xr3:uid="{00000000-0010-0000-0400-000002000000}" name="Description" totalsRowDxfId="11"/>
    <tableColumn id="3" xr3:uid="{00000000-0010-0000-0400-000003000000}" name="Specifications" totalsRowDxfId="10"/>
    <tableColumn id="4" xr3:uid="{00000000-0010-0000-0400-000004000000}" name="Manufacturer" totalsRowDxfId="9"/>
    <tableColumn id="5" xr3:uid="{00000000-0010-0000-0400-000005000000}" name="P/N" totalsRowDxfId="8"/>
    <tableColumn id="6" xr3:uid="{00000000-0010-0000-0400-000006000000}" name="Supplier" totalsRowDxfId="7"/>
    <tableColumn id="7" xr3:uid="{00000000-0010-0000-0400-000007000000}" name="SKU" totalsRowDxfId="6"/>
    <tableColumn id="8" xr3:uid="{00000000-0010-0000-0400-000008000000}" name="Unit Cost" totalsRowDxfId="5"/>
    <tableColumn id="9" xr3:uid="{00000000-0010-0000-0400-000009000000}" name="Qty" totalsRowDxfId="4"/>
    <tableColumn id="12" xr3:uid="{D90B4F8B-41DE-423C-BDAE-90C57052FC5D}" name="Unit" dataDxfId="3" totalsRowDxfId="2"/>
    <tableColumn id="10" xr3:uid="{00000000-0010-0000-0400-00000A000000}" name="Cost" totalsRowDxfId="1"/>
    <tableColumn id="11" xr3:uid="{00000000-0010-0000-0400-00000B000000}" name="Note" totalsRowDxfId="0"/>
  </tableColumns>
  <tableStyleInfo name="TacMes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1-27T00:52:17.49" personId="{69836924-6133-41C4-861C-FC4CDB639352}" id="{AA24BC21-C230-413C-B040-1AF4CA5E34BD}">
    <text>Bulk discount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rborfreight.com/2800-weatherproof-protective-case-medium-orange-58655.html" TargetMode="External"/><Relationship Id="rId13" Type="http://schemas.openxmlformats.org/officeDocument/2006/relationships/hyperlink" Target="https://www.microcenter.com/product/611556/inland-175mm-pla-3d-printer-filament-10-kg-(22-lbs)-spool-bone-white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amazon.com/PATIKIL-Light-Emitting-Indicator-Lighting-Emerald/dp/B0D8GLTZRV?crid=2AZZHIRD2EDVF&amp;dib=eyJ2IjoiMSJ9.oUeb1kjscH2Yax9BV2qx0MN1but3359a7zC-K_IVVG8jDuB5cc1idS4yhh-YaGQ0brozE36CPllssMHkr6IrHbM2e1OBWsKFKfxrHgPqlF-kidT-kSwCRtcpohCTsNAiaimL8qJPM8l_-7N7Y8BObOUESzabJv9IkBRj4lrjzxByhuyTYn-wnJzBABVyuzwzXhxeWDb0yiYIbp_RzMV0IA_EV1q9g2rSOrrXcQGPcMU.loGWB1N3vL1fDttHevrg0-kWTIto-POnO-IW5a1HLCc&amp;dib_tag=se&amp;keywords=3%2Bvolt%2Bdc%2Bled%2Bmini%2Blights%2Bgreen&amp;qid=1751660406&amp;sprefix=3%2Bvolt%2Bdc%2Bled%2Bmini%2Blights%2Bgreen%2Caps%2C130&amp;sr=8-3&amp;th=1" TargetMode="External"/><Relationship Id="rId7" Type="http://schemas.openxmlformats.org/officeDocument/2006/relationships/hyperlink" Target="https://www.18650batterystore.com/collections/18650-batteries/products/samsung-25r-18650" TargetMode="External"/><Relationship Id="rId12" Type="http://schemas.openxmlformats.org/officeDocument/2006/relationships/hyperlink" Target="https://www.microcenter.com/product/626527/inland-175mm-petg-3d-printer-filament-1kg-(22-lbs)-spool-orange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store.rokland.com/products/rakwireless-rak5802-rs485-module-3peak-tp8485e-100003?_pos=1&amp;_sid=ff0127ae0&amp;_ss=r" TargetMode="External"/><Relationship Id="rId16" Type="http://schemas.openxmlformats.org/officeDocument/2006/relationships/hyperlink" Target="https://www.amazon.com/Machine-Sutemribor-Phillips-Stainless-Threaded/dp/B0DJKWR1V9?crid=3U445RX6CMM27&amp;dib=eyJ2IjoiMSJ9.lATz2nQy40z4ek1NsPr2GsopauKS8j4Cj3-JV3fUfwY7Samw3Oax00l5wx7NFWeZwfFLcTAFA1AydxRaX0CBSGTzs-AYnbe87EU3MW3ZeIIByI4_Q4h-YTmR00ucjUnCGm3w_Ed_vcbDx5eM_PeuaaiGCjkb86Kxn90J25UEjgSGsggH37UWR1A1IX3x5za6-8j8PczweKeKISSXKeCTKdN9nhRM-Se-RNkMiGkx2jY.r_2ueHiPnOoOSHAQpRBhRmfIrwEbxz6rO_MS5p-IBso&amp;dib_tag=se&amp;keywords=m2.5%2B4mm%2Bphillips%2Bhead%2Bscrew&amp;qid=1769092026&amp;refinements=p_36%3A-900&amp;rnid=2661611011&amp;sprefix=m2.5%2B4mm%2Bphillips%2Bhead%2Bscrew%2Caps%2C111&amp;sr=8-2&amp;th=1" TargetMode="External"/><Relationship Id="rId20" Type="http://schemas.microsoft.com/office/2017/10/relationships/threadedComment" Target="../threadedComments/threadedComment1.xml"/><Relationship Id="rId1" Type="http://schemas.openxmlformats.org/officeDocument/2006/relationships/hyperlink" Target="https://store.rokland.com/products/rak-wireless-wisblock-meshtastic-starter-kit" TargetMode="External"/><Relationship Id="rId6" Type="http://schemas.openxmlformats.org/officeDocument/2006/relationships/hyperlink" Target="https://www.amazon.com/Button-Switch-Waterproof-Switches-Motorcycle/dp/B076RL96BM?crid=FWQ1V796OEDW&amp;dib=eyJ2IjoiMSJ9.bSD4CBKeo7m7Sw_frqMgxIfjLbF59qjJczGIdSc_T6zb17Ocw2UOGF9RXhCUXMA8_S9vwULF80vNRAMGhH5uICsVIdYOLPLHang7g-wzJ7RljkelPCUbs2n8WE2-mWV2-UZYZOYFe6RNs3-_mtTpV-sKwqRk2qfeNa-__K-yzDT8-InwMzezG8yCFUKJ7saca-HMjeMK6o6q7449u8v2yzGkeJurescdw0U5lHEYFogOhxZukRb7Zq9YXHTa53MPgPWz3HcoX1Yj19wdQzqZ4TozXxIWTuYktULNxvX6Ro3aB1cALMr-AxGZdqJWYrZQZW5MF5pBy-gGb8ixaBo0f6WAryy88o4-HZlWL5K8DrJriYX9JGoYcI1eXSA4Gaz2PFXXyHFqmy2hubf5KPdWPH4mHgBrdlE2tFgjv_OQy0dgaVv8DiOOmF9YscurFjxy.XrKWKWjjH2K6rnkJUow1WCrhbRU3EZ37wDxu45Wtuzs&amp;dib_tag=se&amp;keywords=waterproof%2Bpushbutton%2Bswitch&amp;qid=1738960730&amp;sprefix=waterproof%2Bpushbutton%2Bswitch%2Caps%2C105&amp;sr=8-5&amp;th=1" TargetMode="External"/><Relationship Id="rId11" Type="http://schemas.openxmlformats.org/officeDocument/2006/relationships/hyperlink" Target="https://www.amazon.com/Socket-Screws-100-piece-Stainless-Thread/dp/B01H210BLW?dib=eyJ2IjoiMSJ9.2y7IFFYpMJbA5FUgpbSgAE-1PmWK9CKPNwwtxoewqJ32tg3TAPKGbNr18pLKgMmLZG9hr9JSrsMdLULDSdkqI9M56xdd003bFog24TUjqZJqTHiwRHB4nPW8k9ZrhpZMTBOjdANeMLBCBBQMQfco44lrb9p0bto4v83X4sd3-CHGYQQePk8fh7RDeGDtm3VSdrDTl8MXliZ2kyMcCVv4V_8t6rbALg0KdN1Xyi-KwXtoFTDDq9exUcx_rxSySFDwK02Xs1-bMRPjxX859dGVX1bEdvaY1KC9GP3V0citYAjhRbE6G3M18R3PIbJ9p2kCox5kNeKSYNRCsM0DP8iIA2HCHC5tPXLUeA3RItejT7A.9GdTum75EG6jKhFydNYrzhTvZQJ6Gj66MEEllYHuY64&amp;dib_tag=se&amp;keywords=m2.5%2B8mm%2Bsocket%2Bhead%2Bscrew&amp;qid=1739637704&amp;s=industrial&amp;sr=1-16&amp;th=1" TargetMode="External"/><Relationship Id="rId5" Type="http://schemas.openxmlformats.org/officeDocument/2006/relationships/hyperlink" Target="https://a.co/d/1YucAoj" TargetMode="External"/><Relationship Id="rId15" Type="http://schemas.openxmlformats.org/officeDocument/2006/relationships/hyperlink" Target="https://www.harborfreight.com/18-inch-low-voltage-multi-colored-test-leads-66717.html" TargetMode="External"/><Relationship Id="rId10" Type="http://schemas.openxmlformats.org/officeDocument/2006/relationships/hyperlink" Target="https://www.amazon.com/Threaded-Inserts-Knurled-Printing-Components/dp/B0D39T7F4H?content-id=amzn1.sym.918a99dd-4826-4c0a-be33-a6705d69c4cf%3Aamzn1.sym.918a99dd-4826-4c0a-be33-a6705d69c4cf&amp;crid=2R1DHKV38AWLS&amp;dib=eyJ2IjoiMSJ9.R-Y1JInOi3IzUslVOqCADjPqZgAH0XRKMoqgeu206vs1PzQGiiC7w817945qiX9R0G6wmIkkSBLdU7pw3TWb8MHi7hbQiec0VAGclPHh8FY.BBrlgAM9AYnbDqRDgw7BhY1h_xGo4MsH3uwEb5KUEZA&amp;dib_tag=se&amp;keywords=hardware+nuts&amp;pd_rd_r=05c60d3f-345d-47b7-9d1a-1010b903eeee&amp;pd_rd_w=ose2C&amp;pd_rd_wg=hiSsl&amp;pid=7AeGIOR&amp;qid=1739634401&amp;refinements=p_n_material_browse%3A17548933011%2Cp_n_feature_fourteen_browse-bin%3A11434050011&amp;s=industrial&amp;sprefix=m2.5%2Bbrass%2Btapered%2Binsert%2Caps%2C108&amp;sr=1-1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s://www.amazon.com/16mmx16mm-Batteries-YQBOOM-Nickeling-Replacement/dp/B09NLTNL64?crid=3CBVQUDODDQZB&amp;dib=eyJ2IjoiMSJ9.TKczZs5jnxx88OWr6BHOcxdEJGO9h3CmU_hS287ct9t65Rw6hW0O2HwxepVmN501x09H5tRij4u2mxIKGs7gxNokK8kWruIDAL98zre4jbRgliE-XKyDMmwPONkkvr2nEGohUelUuhs_z319rtV05AiMNR-smXN4cuP1fIcmOk0xCJlRGOxPm9iK_RCB9xMvJQho8O9jzdc48N-IWYwgtOlzD53x76U-l0kUhCUk-uA.wPRBZ-tC6mvTfYNLmLs2QHa80NoeknhsZhuXgqUYipg&amp;dib_tag=se&amp;keywords=18650+battery+terminal&amp;qid=1751660566&amp;sprefix=18650+battery+terminal%2Caps%2C141&amp;sr=8-3" TargetMode="External"/><Relationship Id="rId9" Type="http://schemas.openxmlformats.org/officeDocument/2006/relationships/hyperlink" Target="https://www.amazon.com/915MHz-Antenna-Indoor-Meshtastic-Range/dp/B0FHJNR59W?pd_rd_w=AYYPZ&amp;content-id=amzn1.sym.800434b0-99d2-45b2-ab54-eaca0b27211f&amp;pf_rd_p=800434b0-99d2-45b2-ab54-eaca0b27211f&amp;pf_rd_r=7GS288MQ0JQAPVC6QG6E&amp;pd_rd_wg=m6jdA&amp;pd_rd_r=28302d2f-0c01-4db3-8616-1cc31dbab256&amp;pd_rd_i=B0FHJNR59W&amp;psc=1" TargetMode="External"/><Relationship Id="rId14" Type="http://schemas.openxmlformats.org/officeDocument/2006/relationships/hyperlink" Target="https://us.store.bambulab.com/products/support-for-pla-pe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A1:L25"/>
  <sheetViews>
    <sheetView tabSelected="1" workbookViewId="0">
      <selection activeCell="I19" sqref="I19"/>
    </sheetView>
  </sheetViews>
  <sheetFormatPr defaultColWidth="12.5703125" defaultRowHeight="15.75" customHeight="1" x14ac:dyDescent="0.2"/>
  <cols>
    <col min="1" max="1" width="8.5703125" customWidth="1"/>
    <col min="2" max="2" width="46.5703125" bestFit="1" customWidth="1"/>
    <col min="3" max="3" width="24" bestFit="1" customWidth="1"/>
    <col min="4" max="4" width="15.42578125" customWidth="1"/>
    <col min="5" max="5" width="19.140625" bestFit="1" customWidth="1"/>
    <col min="6" max="6" width="17" customWidth="1"/>
    <col min="7" max="7" width="12.42578125" customWidth="1"/>
    <col min="8" max="8" width="15.5703125" customWidth="1"/>
    <col min="9" max="9" width="8" customWidth="1"/>
    <col min="10" max="10" width="6.140625" customWidth="1"/>
    <col min="11" max="11" width="9" customWidth="1"/>
    <col min="12" max="12" width="27.7109375" customWidth="1"/>
  </cols>
  <sheetData>
    <row r="1" spans="1:12" ht="22.5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84</v>
      </c>
      <c r="K1" s="12" t="s">
        <v>9</v>
      </c>
      <c r="L1" s="12" t="s">
        <v>10</v>
      </c>
    </row>
    <row r="2" spans="1:12" ht="22.5" customHeight="1" x14ac:dyDescent="0.2">
      <c r="A2" s="1">
        <v>1</v>
      </c>
      <c r="B2" s="9" t="s">
        <v>35</v>
      </c>
      <c r="C2" s="3" t="s">
        <v>30</v>
      </c>
      <c r="D2" s="3" t="s">
        <v>27</v>
      </c>
      <c r="E2" s="5" t="s">
        <v>31</v>
      </c>
      <c r="F2" s="5" t="s">
        <v>29</v>
      </c>
      <c r="G2" s="5">
        <v>116016</v>
      </c>
      <c r="H2" s="4">
        <f>28.68*0.8</f>
        <v>22.944000000000003</v>
      </c>
      <c r="I2" s="1">
        <f>$A$20</f>
        <v>12</v>
      </c>
      <c r="J2" s="1" t="s">
        <v>85</v>
      </c>
      <c r="K2" s="4">
        <f t="shared" ref="K2:K9" si="0">H2*I2</f>
        <v>275.32800000000003</v>
      </c>
      <c r="L2" s="13" t="s">
        <v>87</v>
      </c>
    </row>
    <row r="3" spans="1:12" ht="22.5" customHeight="1" x14ac:dyDescent="0.2">
      <c r="A3" s="1">
        <v>2</v>
      </c>
      <c r="B3" s="9" t="s">
        <v>36</v>
      </c>
      <c r="C3" s="3"/>
      <c r="D3" s="3" t="s">
        <v>27</v>
      </c>
      <c r="E3" s="5" t="s">
        <v>28</v>
      </c>
      <c r="F3" s="5" t="s">
        <v>29</v>
      </c>
      <c r="G3" s="5"/>
      <c r="H3" s="4">
        <f>7.97*0.8</f>
        <v>6.3760000000000003</v>
      </c>
      <c r="I3" s="1">
        <f>$A$20</f>
        <v>12</v>
      </c>
      <c r="J3" s="1" t="s">
        <v>85</v>
      </c>
      <c r="K3" s="4">
        <f t="shared" si="0"/>
        <v>76.512</v>
      </c>
      <c r="L3" s="3"/>
    </row>
    <row r="4" spans="1:12" ht="22.5" customHeight="1" x14ac:dyDescent="0.2">
      <c r="A4" s="1">
        <v>3</v>
      </c>
      <c r="B4" s="2" t="s">
        <v>37</v>
      </c>
      <c r="C4" s="3" t="s">
        <v>38</v>
      </c>
      <c r="D4" s="3" t="s">
        <v>39</v>
      </c>
      <c r="E4" s="5"/>
      <c r="F4" s="5" t="s">
        <v>15</v>
      </c>
      <c r="G4" s="5" t="s">
        <v>40</v>
      </c>
      <c r="H4" s="4">
        <f>6.29/12</f>
        <v>0.52416666666666667</v>
      </c>
      <c r="I4" s="1">
        <f>CEILING($A$20/12,1)</f>
        <v>1</v>
      </c>
      <c r="J4" s="1" t="s">
        <v>85</v>
      </c>
      <c r="K4" s="4">
        <f t="shared" si="0"/>
        <v>0.52416666666666667</v>
      </c>
      <c r="L4" s="3"/>
    </row>
    <row r="5" spans="1:12" ht="22.5" customHeight="1" x14ac:dyDescent="0.2">
      <c r="A5" s="1">
        <v>4</v>
      </c>
      <c r="B5" s="2" t="s">
        <v>41</v>
      </c>
      <c r="C5" s="3" t="s">
        <v>42</v>
      </c>
      <c r="D5" s="3" t="s">
        <v>43</v>
      </c>
      <c r="E5" s="5">
        <v>709520419506</v>
      </c>
      <c r="F5" s="5" t="s">
        <v>15</v>
      </c>
      <c r="G5" s="5" t="s">
        <v>44</v>
      </c>
      <c r="H5" s="4">
        <f>5.99/20</f>
        <v>0.29949999999999999</v>
      </c>
      <c r="I5" s="1">
        <f>CEILING($A$20/20,1)</f>
        <v>1</v>
      </c>
      <c r="J5" s="1" t="s">
        <v>85</v>
      </c>
      <c r="K5" s="4">
        <f t="shared" si="0"/>
        <v>0.29949999999999999</v>
      </c>
      <c r="L5" s="3"/>
    </row>
    <row r="6" spans="1:12" ht="22.5" customHeight="1" x14ac:dyDescent="0.2">
      <c r="A6" s="1">
        <v>5</v>
      </c>
      <c r="B6" s="2" t="s">
        <v>83</v>
      </c>
      <c r="C6" s="3" t="s">
        <v>32</v>
      </c>
      <c r="D6" s="3" t="s">
        <v>33</v>
      </c>
      <c r="E6" s="3"/>
      <c r="F6" s="3" t="s">
        <v>15</v>
      </c>
      <c r="G6" s="3" t="s">
        <v>34</v>
      </c>
      <c r="H6" s="4">
        <v>6.99</v>
      </c>
      <c r="I6" s="1">
        <f>CEILING($A$20/20,1)</f>
        <v>1</v>
      </c>
      <c r="J6" s="1" t="s">
        <v>85</v>
      </c>
      <c r="K6" s="4">
        <f t="shared" si="0"/>
        <v>6.99</v>
      </c>
      <c r="L6" s="3"/>
    </row>
    <row r="7" spans="1:12" ht="22.5" customHeight="1" x14ac:dyDescent="0.2">
      <c r="A7" s="1">
        <v>6</v>
      </c>
      <c r="B7" s="2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4">
        <v>9.99</v>
      </c>
      <c r="I7" s="1">
        <f>CEILING($A$20/5,1)</f>
        <v>3</v>
      </c>
      <c r="J7" s="1" t="s">
        <v>85</v>
      </c>
      <c r="K7" s="4">
        <f t="shared" si="0"/>
        <v>29.97</v>
      </c>
      <c r="L7" s="3"/>
    </row>
    <row r="8" spans="1:12" ht="22.5" customHeight="1" x14ac:dyDescent="0.2">
      <c r="A8" s="1">
        <v>7</v>
      </c>
      <c r="B8" s="8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/>
      <c r="H8" s="4">
        <v>4.99</v>
      </c>
      <c r="I8" s="1">
        <f>$A$20</f>
        <v>12</v>
      </c>
      <c r="J8" s="1" t="s">
        <v>85</v>
      </c>
      <c r="K8" s="4">
        <f t="shared" si="0"/>
        <v>59.88</v>
      </c>
      <c r="L8" s="13" t="s">
        <v>88</v>
      </c>
    </row>
    <row r="9" spans="1:12" ht="22.5" customHeight="1" x14ac:dyDescent="0.2">
      <c r="A9" s="1">
        <v>8</v>
      </c>
      <c r="B9" s="8" t="s">
        <v>54</v>
      </c>
      <c r="C9" s="3" t="s">
        <v>55</v>
      </c>
      <c r="D9" s="3" t="s">
        <v>56</v>
      </c>
      <c r="E9" s="5"/>
      <c r="F9" s="3" t="s">
        <v>15</v>
      </c>
      <c r="G9" s="5" t="s">
        <v>57</v>
      </c>
      <c r="H9" s="4">
        <v>9.99</v>
      </c>
      <c r="I9" s="1">
        <f>CEILING($A$20/2,1)</f>
        <v>6</v>
      </c>
      <c r="J9" s="1" t="s">
        <v>85</v>
      </c>
      <c r="K9" s="4">
        <f t="shared" si="0"/>
        <v>59.94</v>
      </c>
      <c r="L9" s="3"/>
    </row>
    <row r="10" spans="1:12" ht="22.5" customHeight="1" x14ac:dyDescent="0.2">
      <c r="A10" s="1">
        <v>9</v>
      </c>
      <c r="B10" s="11" t="s">
        <v>89</v>
      </c>
      <c r="C10" s="3" t="s">
        <v>75</v>
      </c>
      <c r="D10" s="3" t="s">
        <v>76</v>
      </c>
      <c r="E10" s="3"/>
      <c r="F10" s="3" t="s">
        <v>53</v>
      </c>
      <c r="G10" s="5">
        <v>66717</v>
      </c>
      <c r="H10" s="4">
        <v>3.99</v>
      </c>
      <c r="I10" s="1">
        <f>CEILING($A$20/4,1)</f>
        <v>3</v>
      </c>
      <c r="J10" s="1" t="s">
        <v>85</v>
      </c>
      <c r="K10" s="4">
        <f>I10*H10</f>
        <v>11.97</v>
      </c>
      <c r="L10" s="13" t="s">
        <v>90</v>
      </c>
    </row>
    <row r="11" spans="1:12" ht="22.5" customHeight="1" x14ac:dyDescent="0.2">
      <c r="A11" s="1">
        <v>10</v>
      </c>
      <c r="B11" s="2" t="s">
        <v>17</v>
      </c>
      <c r="C11" s="3" t="s">
        <v>18</v>
      </c>
      <c r="D11" s="3" t="s">
        <v>19</v>
      </c>
      <c r="E11" s="3" t="s">
        <v>20</v>
      </c>
      <c r="F11" s="3" t="s">
        <v>15</v>
      </c>
      <c r="G11" s="3" t="s">
        <v>21</v>
      </c>
      <c r="H11" s="4">
        <v>7.99</v>
      </c>
      <c r="I11" s="1">
        <f>CEILING($A$20*4/100,1)</f>
        <v>1</v>
      </c>
      <c r="J11" s="1" t="s">
        <v>85</v>
      </c>
      <c r="K11" s="4">
        <f>BOM_3[[#This Row],[Unit Cost]]*BOM_3[[#This Row],[Qty]]</f>
        <v>7.99</v>
      </c>
      <c r="L11" s="3"/>
    </row>
    <row r="12" spans="1:12" ht="22.5" customHeight="1" x14ac:dyDescent="0.2">
      <c r="A12" s="1">
        <v>11</v>
      </c>
      <c r="B12" s="2" t="s">
        <v>22</v>
      </c>
      <c r="C12" s="3" t="s">
        <v>23</v>
      </c>
      <c r="D12" s="3" t="s">
        <v>24</v>
      </c>
      <c r="E12" s="3" t="s">
        <v>25</v>
      </c>
      <c r="F12" s="3" t="s">
        <v>15</v>
      </c>
      <c r="G12" s="3" t="s">
        <v>26</v>
      </c>
      <c r="H12" s="4">
        <v>7.59</v>
      </c>
      <c r="I12" s="1">
        <f>CEILING($A$20*4/100,1)</f>
        <v>1</v>
      </c>
      <c r="J12" s="1" t="s">
        <v>85</v>
      </c>
      <c r="K12" s="4">
        <f>BOM_3[[#This Row],[Unit Cost]]*BOM_3[[#This Row],[Qty]]</f>
        <v>7.59</v>
      </c>
      <c r="L12" s="3"/>
    </row>
    <row r="13" spans="1:12" ht="22.5" customHeight="1" x14ac:dyDescent="0.2">
      <c r="A13" s="1">
        <v>12</v>
      </c>
      <c r="B13" s="11" t="s">
        <v>81</v>
      </c>
      <c r="C13" s="3" t="s">
        <v>78</v>
      </c>
      <c r="D13" s="3" t="s">
        <v>79</v>
      </c>
      <c r="E13" s="3" t="s">
        <v>80</v>
      </c>
      <c r="F13" s="3" t="s">
        <v>15</v>
      </c>
      <c r="G13" s="3" t="s">
        <v>82</v>
      </c>
      <c r="H13" s="4">
        <v>6.99</v>
      </c>
      <c r="I13" s="1">
        <f>CEILING($A$20*4/105,1)</f>
        <v>1</v>
      </c>
      <c r="J13" s="1" t="s">
        <v>85</v>
      </c>
      <c r="K13" s="4">
        <f>BOM_3[[#This Row],[Unit Cost]]*BOM_3[[#This Row],[Qty]]</f>
        <v>6.99</v>
      </c>
      <c r="L13" s="3"/>
    </row>
    <row r="14" spans="1:12" ht="22.5" customHeight="1" x14ac:dyDescent="0.2">
      <c r="A14" s="1">
        <v>13</v>
      </c>
      <c r="B14" s="8" t="s">
        <v>58</v>
      </c>
      <c r="C14" s="3" t="s">
        <v>59</v>
      </c>
      <c r="D14" s="3" t="s">
        <v>60</v>
      </c>
      <c r="E14" s="3" t="s">
        <v>61</v>
      </c>
      <c r="F14" s="3" t="s">
        <v>62</v>
      </c>
      <c r="G14" s="5">
        <v>151498</v>
      </c>
      <c r="H14" s="4">
        <f>$A$23/1000</f>
        <v>1.5990000000000001E-2</v>
      </c>
      <c r="I14" s="1">
        <f>(44+21)*$A$20</f>
        <v>780</v>
      </c>
      <c r="J14" s="1" t="s">
        <v>86</v>
      </c>
      <c r="K14" s="4">
        <f>H14*I14</f>
        <v>12.472200000000001</v>
      </c>
      <c r="L14" s="3"/>
    </row>
    <row r="15" spans="1:12" ht="22.5" customHeight="1" x14ac:dyDescent="0.2">
      <c r="A15" s="1">
        <v>14</v>
      </c>
      <c r="B15" s="8" t="s">
        <v>63</v>
      </c>
      <c r="C15" s="3" t="s">
        <v>64</v>
      </c>
      <c r="D15" s="3" t="s">
        <v>60</v>
      </c>
      <c r="E15" s="3" t="s">
        <v>65</v>
      </c>
      <c r="F15" s="3" t="s">
        <v>62</v>
      </c>
      <c r="G15" s="5">
        <v>989038</v>
      </c>
      <c r="H15" s="4">
        <f>$A$24/1000</f>
        <v>1.499E-2</v>
      </c>
      <c r="I15" s="1">
        <f>4*$A$20</f>
        <v>48</v>
      </c>
      <c r="J15" s="1" t="s">
        <v>86</v>
      </c>
      <c r="K15" s="4">
        <f>H15*I15*$A$20</f>
        <v>8.6342399999999984</v>
      </c>
      <c r="L15" s="3"/>
    </row>
    <row r="16" spans="1:12" ht="22.5" customHeight="1" x14ac:dyDescent="0.2">
      <c r="A16" s="1">
        <v>15</v>
      </c>
      <c r="B16" s="8" t="s">
        <v>66</v>
      </c>
      <c r="C16" s="3" t="s">
        <v>67</v>
      </c>
      <c r="D16" s="3" t="s">
        <v>68</v>
      </c>
      <c r="E16" s="3"/>
      <c r="F16" s="3" t="s">
        <v>68</v>
      </c>
      <c r="G16" s="5"/>
      <c r="H16" s="4">
        <f>$A$25/1000</f>
        <v>2.7989999999999998E-2</v>
      </c>
      <c r="I16" s="1">
        <v>0</v>
      </c>
      <c r="J16" s="1" t="s">
        <v>86</v>
      </c>
      <c r="K16" s="4">
        <f>I16*H16*$A$20</f>
        <v>0</v>
      </c>
      <c r="L16" s="3"/>
    </row>
    <row r="17" spans="1:12" ht="22.5" customHeight="1" x14ac:dyDescent="0.2">
      <c r="A17" s="1">
        <v>16</v>
      </c>
      <c r="B17" s="8" t="s">
        <v>50</v>
      </c>
      <c r="C17" s="3" t="s">
        <v>51</v>
      </c>
      <c r="D17" s="3" t="s">
        <v>52</v>
      </c>
      <c r="E17" s="5">
        <v>2800</v>
      </c>
      <c r="F17" s="3" t="s">
        <v>53</v>
      </c>
      <c r="G17" s="5">
        <v>58655</v>
      </c>
      <c r="H17" s="4">
        <v>29.99</v>
      </c>
      <c r="I17" s="1">
        <f>CEILING($A$20/12,1)</f>
        <v>1</v>
      </c>
      <c r="J17" s="1" t="s">
        <v>85</v>
      </c>
      <c r="K17" s="4">
        <f>H17*I17</f>
        <v>29.99</v>
      </c>
      <c r="L17" s="13" t="s">
        <v>91</v>
      </c>
    </row>
    <row r="18" spans="1:12" ht="15.75" customHeight="1" x14ac:dyDescent="0.2">
      <c r="K18" s="14">
        <f>SUM(K2:K16)/$A$20</f>
        <v>47.090842222222228</v>
      </c>
      <c r="L18" s="6" t="s">
        <v>69</v>
      </c>
    </row>
    <row r="19" spans="1:12" ht="15.75" customHeight="1" x14ac:dyDescent="0.2">
      <c r="K19" s="14">
        <f>SUM(BOM_3[Cost])</f>
        <v>595.08010666666678</v>
      </c>
      <c r="L19" s="6" t="s">
        <v>70</v>
      </c>
    </row>
    <row r="20" spans="1:12" ht="12.75" x14ac:dyDescent="0.2">
      <c r="A20" s="10">
        <v>12</v>
      </c>
      <c r="B20" s="6" t="s">
        <v>77</v>
      </c>
    </row>
    <row r="21" spans="1:12" ht="12.75" x14ac:dyDescent="0.2"/>
    <row r="23" spans="1:12" ht="12.75" x14ac:dyDescent="0.2">
      <c r="A23" s="7">
        <v>15.99</v>
      </c>
      <c r="B23" s="6" t="s">
        <v>71</v>
      </c>
      <c r="C23" s="6" t="s">
        <v>72</v>
      </c>
    </row>
    <row r="24" spans="1:12" ht="12.75" x14ac:dyDescent="0.2">
      <c r="A24" s="7">
        <v>14.99</v>
      </c>
      <c r="B24" s="6" t="s">
        <v>73</v>
      </c>
    </row>
    <row r="25" spans="1:12" ht="12.75" x14ac:dyDescent="0.2">
      <c r="A25" s="7">
        <v>27.99</v>
      </c>
      <c r="B25" s="6" t="s">
        <v>74</v>
      </c>
    </row>
  </sheetData>
  <dataValidations count="1">
    <dataValidation type="custom" allowBlank="1" showDropDown="1" sqref="H2:H17" xr:uid="{00000000-0002-0000-0400-000000000000}">
      <formula1>AND(ISNUMBER(H2),(NOT(OR(NOT(ISERROR(DATEVALUE(H2))), AND(ISNUMBER(H2), LEFT(CELL("format", H2))="D")))))</formula1>
    </dataValidation>
  </dataValidations>
  <hyperlinks>
    <hyperlink ref="B2" r:id="rId1" xr:uid="{00000000-0004-0000-0400-000000000000}"/>
    <hyperlink ref="B3" r:id="rId2" xr:uid="{00000000-0004-0000-0400-000001000000}"/>
    <hyperlink ref="B4" r:id="rId3" xr:uid="{00000000-0004-0000-0400-000003000000}"/>
    <hyperlink ref="B5" r:id="rId4" xr:uid="{00000000-0004-0000-0400-000004000000}"/>
    <hyperlink ref="B6" r:id="rId5" display="JST-PH-2 Pigtails + Sockets (20-pk)" xr:uid="{00000000-0004-0000-0400-000006000000}"/>
    <hyperlink ref="B7" r:id="rId6" xr:uid="{00000000-0004-0000-0400-000007000000}"/>
    <hyperlink ref="B8" r:id="rId7" xr:uid="{00000000-0004-0000-0400-000008000000}"/>
    <hyperlink ref="B17" r:id="rId8" xr:uid="{00000000-0004-0000-0400-00000B000000}"/>
    <hyperlink ref="B9" r:id="rId9" xr:uid="{00000000-0004-0000-0400-00000C000000}"/>
    <hyperlink ref="B11" r:id="rId10" xr:uid="{00000000-0004-0000-0400-00000D000000}"/>
    <hyperlink ref="B12" r:id="rId11" xr:uid="{00000000-0004-0000-0400-00000E000000}"/>
    <hyperlink ref="B14" r:id="rId12" xr:uid="{00000000-0004-0000-0400-00000F000000}"/>
    <hyperlink ref="B15" r:id="rId13" xr:uid="{00000000-0004-0000-0400-000010000000}"/>
    <hyperlink ref="B16" r:id="rId14" xr:uid="{00000000-0004-0000-0400-000011000000}"/>
    <hyperlink ref="B10" r:id="rId15" xr:uid="{00000000-0004-0000-0400-000012000000}"/>
    <hyperlink ref="B13" r:id="rId16" xr:uid="{17D2F8E9-287E-4F37-8594-367A679741FF}"/>
  </hyperlinks>
  <pageMargins left="0.7" right="0.7" top="0.75" bottom="0.75" header="0.3" footer="0.3"/>
  <legacyDrawing r:id="rId17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Hybrid V2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Moon</cp:lastModifiedBy>
  <dcterms:modified xsi:type="dcterms:W3CDTF">2026-02-20T18:26:35Z</dcterms:modified>
</cp:coreProperties>
</file>